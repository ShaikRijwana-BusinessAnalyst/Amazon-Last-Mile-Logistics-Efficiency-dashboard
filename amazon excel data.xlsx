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8_{A042F3BE-2072-463B-9847-B52CAAA08FC2}" xr6:coauthVersionLast="47" xr6:coauthVersionMax="47" xr10:uidLastSave="{00000000-0000-0000-0000-000000000000}"/>
  <bookViews>
    <workbookView xWindow="-108" yWindow="-108" windowWidth="23256" windowHeight="12456" xr2:uid="{81E2FB50-2395-4384-A48C-DA57F008D9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1" i="1" l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<sst xmlns="http://schemas.openxmlformats.org/spreadsheetml/2006/main" count="87" uniqueCount="70">
  <si>
    <t>City</t>
  </si>
  <si>
    <t>Tier</t>
  </si>
  <si>
    <t>Warehouse Location</t>
  </si>
  <si>
    <t>Warehouse Lat</t>
  </si>
  <si>
    <t>Warehouse Lon</t>
  </si>
  <si>
    <t>Population (M)</t>
  </si>
  <si>
    <t>Income Index</t>
  </si>
  <si>
    <t>Purchasing Power</t>
  </si>
  <si>
    <t>city Lat</t>
  </si>
  <si>
    <t>city Lon</t>
  </si>
  <si>
    <t>Demand Growth</t>
  </si>
  <si>
    <t>Traffic Factor</t>
  </si>
  <si>
    <t>Warehouse Monthly Cost</t>
  </si>
  <si>
    <t>Demand Factor(% of people ordering daily)</t>
  </si>
  <si>
    <t>Result(&lt; 1: Warehouse serves the city efficiently; = 1: need new warehouse )</t>
  </si>
  <si>
    <t>Base fee</t>
  </si>
  <si>
    <t>rate</t>
  </si>
  <si>
    <t>delivery time after traffic time</t>
  </si>
  <si>
    <t>Mumbai</t>
  </si>
  <si>
    <t>Metro</t>
  </si>
  <si>
    <t>Bhiwandi Logistics Hub</t>
  </si>
  <si>
    <t>Delhi</t>
  </si>
  <si>
    <t>Gurugram Logistics Zone</t>
  </si>
  <si>
    <t>Bengaluru</t>
  </si>
  <si>
    <t>Nelamangala Industrial Area</t>
  </si>
  <si>
    <t>Kolkata</t>
  </si>
  <si>
    <t>Dankuni Logistics Hub</t>
  </si>
  <si>
    <t>Chennai</t>
  </si>
  <si>
    <t>Sriperumbudur Industrial Hub</t>
  </si>
  <si>
    <t>Hyderabad</t>
  </si>
  <si>
    <t>Shamshabad Logistics Park</t>
  </si>
  <si>
    <t>Ahmedabad</t>
  </si>
  <si>
    <t>Sanand Industrial Zone</t>
  </si>
  <si>
    <t>Pune</t>
  </si>
  <si>
    <t>Chakan MIDC</t>
  </si>
  <si>
    <t>Lucknow</t>
  </si>
  <si>
    <t>Amausi Industrial Area</t>
  </si>
  <si>
    <t>Jaipur</t>
  </si>
  <si>
    <t>Sitapura Industrial Area</t>
  </si>
  <si>
    <t>Chandigarh</t>
  </si>
  <si>
    <t>Tier1</t>
  </si>
  <si>
    <t>Mohali Industrial Area</t>
  </si>
  <si>
    <t>Bhubaneswar</t>
  </si>
  <si>
    <t>Mancheswar Industrial Estate</t>
  </si>
  <si>
    <t>Coimbatore</t>
  </si>
  <si>
    <t>SIDCO Industrial Area</t>
  </si>
  <si>
    <t>Indore</t>
  </si>
  <si>
    <t>Pithampur Industrial Area</t>
  </si>
  <si>
    <t>Nagpur</t>
  </si>
  <si>
    <t>MIHAN Logistics Hub</t>
  </si>
  <si>
    <t>Vadodara</t>
  </si>
  <si>
    <t>Tier2</t>
  </si>
  <si>
    <t>Savli Industrial Area</t>
  </si>
  <si>
    <t>Rajkot</t>
  </si>
  <si>
    <t>Metoda GIDC</t>
  </si>
  <si>
    <t>Mangalore</t>
  </si>
  <si>
    <t>Baikampady Industrial Area</t>
  </si>
  <si>
    <t>Guwahati</t>
  </si>
  <si>
    <t>Amingaon Industrial Area</t>
  </si>
  <si>
    <t>Patna</t>
  </si>
  <si>
    <t>Bihta Industrial Area</t>
  </si>
  <si>
    <t>Demand Estimation orders per day</t>
  </si>
  <si>
    <t>Coverage Ratio</t>
  </si>
  <si>
    <t>DELIVERY COST</t>
  </si>
  <si>
    <t>DELIVERY TIME</t>
  </si>
  <si>
    <t xml:space="preserve">Cost per 1000 Orders </t>
  </si>
  <si>
    <t xml:space="preserve">Daily Logistics Cost </t>
  </si>
  <si>
    <t>Efficiency Score</t>
  </si>
  <si>
    <t>Radius (km)</t>
  </si>
  <si>
    <t>Average DISTANCE(km)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</si>
</sst>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00"/>
    <numFmt numFmtId="166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9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/>
    <xf numFmtId="166" fontId="0" fillId="0" borderId="1" xfId="0" applyNumberFormat="1" applyBorder="1"/>
    <xf numFmtId="0" fontId="1" fillId="0" borderId="0" xfId="0" applyFont="1" applyAlignment="1">
      <alignment wrapText="1"/>
    </xf>
    <xf numFmtId="0" fontId="0" fillId="0" borderId="1" xfId="0" applyNumberFormat="1" applyBorder="1" applyAlignment="1">
      <alignment vertical="center" wrapText="1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D52C6-873A-4181-8EB2-3C1DD5251F64}">
  <dimension ref="A1:AA21"/>
  <sheetViews>
    <sheetView tabSelected="1" workbookViewId="0">
      <selection activeCell="X22" sqref="X22"/>
    </sheetView>
  </sheetViews>
  <sheetFormatPr defaultRowHeight="14.4" x14ac:dyDescent="0.3"/>
  <cols>
    <col min="3" max="3" width="13.77734375" customWidth="1"/>
    <col min="4" max="4" width="15.21875" customWidth="1"/>
    <col min="8" max="8" width="15.5546875" customWidth="1"/>
    <col min="15" max="15" width="13.33203125" customWidth="1"/>
    <col min="16" max="17" width="8.88671875" customWidth="1"/>
    <col min="23" max="24" width="8.88671875" customWidth="1"/>
  </cols>
  <sheetData>
    <row r="1" spans="1:27" ht="67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61</v>
      </c>
      <c r="P1" s="3" t="s">
        <v>69</v>
      </c>
      <c r="Q1" s="1" t="s">
        <v>68</v>
      </c>
      <c r="R1" s="1" t="s">
        <v>62</v>
      </c>
      <c r="S1" s="15" t="s">
        <v>14</v>
      </c>
      <c r="T1" s="4" t="s">
        <v>15</v>
      </c>
      <c r="U1" s="4" t="s">
        <v>16</v>
      </c>
      <c r="V1" s="3" t="s">
        <v>63</v>
      </c>
      <c r="W1" s="3" t="s">
        <v>64</v>
      </c>
      <c r="X1" s="3" t="s">
        <v>17</v>
      </c>
      <c r="Y1" s="3" t="s">
        <v>65</v>
      </c>
      <c r="Z1" s="3" t="s">
        <v>66</v>
      </c>
      <c r="AA1" s="3" t="s">
        <v>67</v>
      </c>
    </row>
    <row r="2" spans="1:27" ht="28.8" x14ac:dyDescent="0.3">
      <c r="A2" s="5" t="s">
        <v>18</v>
      </c>
      <c r="B2" s="5" t="s">
        <v>19</v>
      </c>
      <c r="C2" s="5" t="s">
        <v>20</v>
      </c>
      <c r="D2" s="5">
        <v>19.3</v>
      </c>
      <c r="E2" s="5">
        <v>73.05</v>
      </c>
      <c r="F2" s="5">
        <v>12.5</v>
      </c>
      <c r="G2" s="5">
        <v>9</v>
      </c>
      <c r="H2" s="5">
        <v>90</v>
      </c>
      <c r="I2" s="5">
        <v>19.07</v>
      </c>
      <c r="J2" s="5">
        <v>72.87</v>
      </c>
      <c r="K2" s="6">
        <v>0.08</v>
      </c>
      <c r="L2" s="5">
        <v>1.4</v>
      </c>
      <c r="M2" s="7">
        <v>1500000</v>
      </c>
      <c r="N2" s="5">
        <v>1.5E-3</v>
      </c>
      <c r="O2" s="8">
        <v>168750</v>
      </c>
      <c r="P2" s="8">
        <v>33.1</v>
      </c>
      <c r="Q2" s="16">
        <v>40</v>
      </c>
      <c r="R2" s="9">
        <v>0.8</v>
      </c>
      <c r="S2" s="9" t="str">
        <f>IF(P2&lt;=Q2,"efficient","need new warehouse")</f>
        <v>efficient</v>
      </c>
      <c r="T2" s="8">
        <v>40</v>
      </c>
      <c r="U2" s="8">
        <v>0.6</v>
      </c>
      <c r="V2" s="8">
        <v>59.86</v>
      </c>
      <c r="W2" s="8">
        <v>49.65</v>
      </c>
      <c r="X2" s="8">
        <v>69.510000000000005</v>
      </c>
      <c r="Y2" s="8">
        <v>0.35399999999999998</v>
      </c>
      <c r="Z2" s="8">
        <v>10101375</v>
      </c>
      <c r="AA2" s="8">
        <v>56.71</v>
      </c>
    </row>
    <row r="3" spans="1:27" ht="28.8" x14ac:dyDescent="0.3">
      <c r="A3" s="5" t="s">
        <v>21</v>
      </c>
      <c r="B3" s="5" t="s">
        <v>19</v>
      </c>
      <c r="C3" s="5" t="s">
        <v>22</v>
      </c>
      <c r="D3" s="5">
        <v>28.47</v>
      </c>
      <c r="E3" s="5">
        <v>77.03</v>
      </c>
      <c r="F3" s="5">
        <v>11</v>
      </c>
      <c r="G3" s="5">
        <v>9</v>
      </c>
      <c r="H3" s="5">
        <v>88</v>
      </c>
      <c r="I3" s="5">
        <v>28.61</v>
      </c>
      <c r="J3" s="5">
        <v>77.23</v>
      </c>
      <c r="K3" s="6">
        <v>0.08</v>
      </c>
      <c r="L3" s="5">
        <v>1.5</v>
      </c>
      <c r="M3" s="7">
        <v>1500000</v>
      </c>
      <c r="N3" s="5">
        <v>1.5E-3</v>
      </c>
      <c r="O3" s="8">
        <v>148500</v>
      </c>
      <c r="P3" s="8">
        <v>25.6</v>
      </c>
      <c r="Q3" s="16">
        <v>40</v>
      </c>
      <c r="R3" s="10">
        <v>0.6</v>
      </c>
      <c r="S3" s="9" t="str">
        <f t="shared" ref="S3:S17" si="0">IF(P3&lt;=Q3,"efficient","need new warehouse")</f>
        <v>efficient</v>
      </c>
      <c r="T3" s="8">
        <v>40</v>
      </c>
      <c r="U3" s="8">
        <v>0.6</v>
      </c>
      <c r="V3" s="8">
        <v>55.36</v>
      </c>
      <c r="W3" s="8">
        <v>38.4</v>
      </c>
      <c r="X3" s="8">
        <v>57.6</v>
      </c>
      <c r="Y3" s="8">
        <v>0.372</v>
      </c>
      <c r="Z3" s="8">
        <v>8220960</v>
      </c>
      <c r="AA3" s="8">
        <v>69.88</v>
      </c>
    </row>
    <row r="4" spans="1:27" ht="28.8" x14ac:dyDescent="0.3">
      <c r="A4" s="5" t="s">
        <v>23</v>
      </c>
      <c r="B4" s="5" t="s">
        <v>19</v>
      </c>
      <c r="C4" s="5" t="s">
        <v>24</v>
      </c>
      <c r="D4" s="5">
        <v>13.1</v>
      </c>
      <c r="E4" s="5">
        <v>77.39</v>
      </c>
      <c r="F4" s="5">
        <v>10.5</v>
      </c>
      <c r="G4" s="5">
        <v>8</v>
      </c>
      <c r="H4" s="5">
        <v>84</v>
      </c>
      <c r="I4" s="5">
        <v>12.97</v>
      </c>
      <c r="J4" s="5">
        <v>77.59</v>
      </c>
      <c r="K4" s="6">
        <v>0.09</v>
      </c>
      <c r="L4" s="5">
        <v>1.3</v>
      </c>
      <c r="M4" s="7">
        <v>1500000</v>
      </c>
      <c r="N4" s="5">
        <v>1.5E-3</v>
      </c>
      <c r="O4" s="8">
        <v>126000</v>
      </c>
      <c r="P4" s="8">
        <v>27.1</v>
      </c>
      <c r="Q4" s="16">
        <v>40</v>
      </c>
      <c r="R4" s="10">
        <v>0.67</v>
      </c>
      <c r="S4" s="9" t="str">
        <f t="shared" si="0"/>
        <v>efficient</v>
      </c>
      <c r="T4" s="8">
        <v>40</v>
      </c>
      <c r="U4" s="8">
        <v>0.6</v>
      </c>
      <c r="V4" s="8">
        <v>56.26</v>
      </c>
      <c r="W4" s="8">
        <v>40.65</v>
      </c>
      <c r="X4" s="8">
        <v>52.844999999999999</v>
      </c>
      <c r="Y4" s="8">
        <v>0.44600000000000001</v>
      </c>
      <c r="Z4" s="8">
        <v>7088760</v>
      </c>
      <c r="AA4" s="8">
        <v>55.07</v>
      </c>
    </row>
    <row r="5" spans="1:27" ht="28.8" x14ac:dyDescent="0.3">
      <c r="A5" s="5" t="s">
        <v>25</v>
      </c>
      <c r="B5" s="5" t="s">
        <v>19</v>
      </c>
      <c r="C5" s="5" t="s">
        <v>26</v>
      </c>
      <c r="D5" s="5">
        <v>22.67</v>
      </c>
      <c r="E5" s="5">
        <v>88.29</v>
      </c>
      <c r="F5" s="5">
        <v>14</v>
      </c>
      <c r="G5" s="5">
        <v>7</v>
      </c>
      <c r="H5" s="5">
        <v>78</v>
      </c>
      <c r="I5" s="5">
        <v>22.57</v>
      </c>
      <c r="J5" s="5">
        <v>88.36</v>
      </c>
      <c r="K5" s="6">
        <v>7.0000000000000007E-2</v>
      </c>
      <c r="L5" s="5">
        <v>1.2</v>
      </c>
      <c r="M5" s="7">
        <v>1500000</v>
      </c>
      <c r="N5" s="5">
        <v>1.5E-3</v>
      </c>
      <c r="O5" s="8">
        <v>147000</v>
      </c>
      <c r="P5" s="8">
        <v>14.8</v>
      </c>
      <c r="Q5" s="16">
        <v>40</v>
      </c>
      <c r="R5" s="10">
        <v>0.37</v>
      </c>
      <c r="S5" s="9" t="str">
        <f t="shared" si="0"/>
        <v>efficient</v>
      </c>
      <c r="T5" s="8">
        <v>40</v>
      </c>
      <c r="U5" s="8">
        <v>0.6</v>
      </c>
      <c r="V5" s="8">
        <v>48.88</v>
      </c>
      <c r="W5" s="8">
        <v>22.2</v>
      </c>
      <c r="X5" s="8">
        <v>26.64</v>
      </c>
      <c r="Y5" s="8">
        <v>0.33200000000000002</v>
      </c>
      <c r="Z5" s="8">
        <v>7185360</v>
      </c>
      <c r="AA5" s="8">
        <v>135.61000000000001</v>
      </c>
    </row>
    <row r="6" spans="1:27" ht="28.8" x14ac:dyDescent="0.3">
      <c r="A6" s="5" t="s">
        <v>27</v>
      </c>
      <c r="B6" s="5" t="s">
        <v>19</v>
      </c>
      <c r="C6" s="5" t="s">
        <v>28</v>
      </c>
      <c r="D6" s="5">
        <v>12.97</v>
      </c>
      <c r="E6" s="5">
        <v>79.94</v>
      </c>
      <c r="F6" s="5">
        <v>8.9</v>
      </c>
      <c r="G6" s="5">
        <v>8</v>
      </c>
      <c r="H6" s="5">
        <v>80</v>
      </c>
      <c r="I6" s="5">
        <v>13.08</v>
      </c>
      <c r="J6" s="5">
        <v>80.27</v>
      </c>
      <c r="K6" s="6">
        <v>0.08</v>
      </c>
      <c r="L6" s="5">
        <v>1.3</v>
      </c>
      <c r="M6" s="7">
        <v>1500000</v>
      </c>
      <c r="N6" s="5">
        <v>1.5E-3</v>
      </c>
      <c r="O6" s="8">
        <v>106800</v>
      </c>
      <c r="P6" s="8">
        <v>38.6</v>
      </c>
      <c r="Q6" s="16">
        <v>40</v>
      </c>
      <c r="R6" s="10">
        <v>0.9</v>
      </c>
      <c r="S6" s="9" t="str">
        <f t="shared" si="0"/>
        <v>efficient</v>
      </c>
      <c r="T6" s="8">
        <v>40</v>
      </c>
      <c r="U6" s="8">
        <v>0.6</v>
      </c>
      <c r="V6" s="8">
        <v>63.16</v>
      </c>
      <c r="W6" s="8">
        <v>57.9</v>
      </c>
      <c r="X6" s="8">
        <v>75.27</v>
      </c>
      <c r="Y6" s="8">
        <v>0.59099999999999997</v>
      </c>
      <c r="Z6" s="8">
        <v>6745488</v>
      </c>
      <c r="AA6" s="8">
        <v>29.19</v>
      </c>
    </row>
    <row r="7" spans="1:27" ht="28.8" x14ac:dyDescent="0.3">
      <c r="A7" s="5" t="s">
        <v>29</v>
      </c>
      <c r="B7" s="5" t="s">
        <v>19</v>
      </c>
      <c r="C7" s="5" t="s">
        <v>30</v>
      </c>
      <c r="D7" s="5">
        <v>17.239999999999998</v>
      </c>
      <c r="E7" s="5">
        <v>78.430000000000007</v>
      </c>
      <c r="F7" s="5">
        <v>9.5</v>
      </c>
      <c r="G7" s="5">
        <v>7</v>
      </c>
      <c r="H7" s="5">
        <v>76</v>
      </c>
      <c r="I7" s="5">
        <v>17.38</v>
      </c>
      <c r="J7" s="5">
        <v>78.48</v>
      </c>
      <c r="K7" s="6">
        <v>0.09</v>
      </c>
      <c r="L7" s="5">
        <v>1.3</v>
      </c>
      <c r="M7" s="7">
        <v>1500000</v>
      </c>
      <c r="N7" s="5">
        <v>1.5E-3</v>
      </c>
      <c r="O7" s="8">
        <v>99750</v>
      </c>
      <c r="P7" s="8">
        <v>16.5</v>
      </c>
      <c r="Q7" s="16">
        <v>40</v>
      </c>
      <c r="R7" s="10">
        <v>0.41</v>
      </c>
      <c r="S7" s="9" t="str">
        <f t="shared" si="0"/>
        <v>efficient</v>
      </c>
      <c r="T7" s="8">
        <v>40</v>
      </c>
      <c r="U7" s="8">
        <v>0.6</v>
      </c>
      <c r="V7" s="8">
        <v>49.9</v>
      </c>
      <c r="W7" s="8">
        <v>24.75</v>
      </c>
      <c r="X7" s="8">
        <v>32.174999999999997</v>
      </c>
      <c r="Y7" s="8">
        <v>0.50019999999999998</v>
      </c>
      <c r="Z7" s="8">
        <v>4977525</v>
      </c>
      <c r="AA7" s="8">
        <v>80.84</v>
      </c>
    </row>
    <row r="8" spans="1:27" ht="28.8" x14ac:dyDescent="0.3">
      <c r="A8" s="5" t="s">
        <v>31</v>
      </c>
      <c r="B8" s="5" t="s">
        <v>19</v>
      </c>
      <c r="C8" s="5" t="s">
        <v>32</v>
      </c>
      <c r="D8" s="5">
        <v>22.99</v>
      </c>
      <c r="E8" s="5">
        <v>72.38</v>
      </c>
      <c r="F8" s="5">
        <v>8.1999999999999993</v>
      </c>
      <c r="G8" s="5">
        <v>7</v>
      </c>
      <c r="H8" s="5">
        <v>74</v>
      </c>
      <c r="I8" s="5">
        <v>23.02</v>
      </c>
      <c r="J8" s="5">
        <v>72.569999999999993</v>
      </c>
      <c r="K8" s="6">
        <v>0.09</v>
      </c>
      <c r="L8" s="5">
        <v>1.2</v>
      </c>
      <c r="M8" s="7">
        <v>1500000</v>
      </c>
      <c r="N8" s="5">
        <v>1.5E-3</v>
      </c>
      <c r="O8" s="8">
        <v>86100</v>
      </c>
      <c r="P8" s="8">
        <v>21.1</v>
      </c>
      <c r="Q8" s="16">
        <v>40</v>
      </c>
      <c r="R8" s="10">
        <v>0.52</v>
      </c>
      <c r="S8" s="9" t="str">
        <f t="shared" si="0"/>
        <v>efficient</v>
      </c>
      <c r="T8" s="8">
        <v>40</v>
      </c>
      <c r="U8" s="8">
        <v>0.6</v>
      </c>
      <c r="V8" s="8">
        <v>52.66</v>
      </c>
      <c r="W8" s="8">
        <v>31.65</v>
      </c>
      <c r="X8" s="8">
        <v>37.979999999999997</v>
      </c>
      <c r="Y8" s="8">
        <v>0.61160000000000003</v>
      </c>
      <c r="Z8" s="8">
        <v>4534026</v>
      </c>
      <c r="AA8" s="8">
        <v>51.69</v>
      </c>
    </row>
    <row r="9" spans="1:27" x14ac:dyDescent="0.3">
      <c r="A9" s="5" t="s">
        <v>33</v>
      </c>
      <c r="B9" s="5" t="s">
        <v>19</v>
      </c>
      <c r="C9" s="5" t="s">
        <v>34</v>
      </c>
      <c r="D9" s="5">
        <v>18.760000000000002</v>
      </c>
      <c r="E9" s="5">
        <v>73.849999999999994</v>
      </c>
      <c r="F9" s="5">
        <v>7.4</v>
      </c>
      <c r="G9" s="5">
        <v>8</v>
      </c>
      <c r="H9" s="5">
        <v>78</v>
      </c>
      <c r="I9" s="5">
        <v>18.52</v>
      </c>
      <c r="J9" s="5">
        <v>73.849999999999994</v>
      </c>
      <c r="K9" s="6">
        <v>0.1</v>
      </c>
      <c r="L9" s="5">
        <v>1.3</v>
      </c>
      <c r="M9" s="7">
        <v>1500000</v>
      </c>
      <c r="N9" s="5">
        <v>1.5E-3</v>
      </c>
      <c r="O9" s="8">
        <v>88800</v>
      </c>
      <c r="P9" s="8">
        <v>26.7</v>
      </c>
      <c r="Q9" s="16">
        <v>40</v>
      </c>
      <c r="R9" s="10">
        <v>0.66</v>
      </c>
      <c r="S9" s="9" t="str">
        <f t="shared" si="0"/>
        <v>efficient</v>
      </c>
      <c r="T9" s="8">
        <v>40</v>
      </c>
      <c r="U9" s="8">
        <v>0.6</v>
      </c>
      <c r="V9" s="8">
        <v>56.02</v>
      </c>
      <c r="W9" s="8">
        <v>40.049999999999997</v>
      </c>
      <c r="X9" s="8">
        <v>52.064999999999998</v>
      </c>
      <c r="Y9" s="8">
        <v>0.63100000000000001</v>
      </c>
      <c r="Z9" s="8">
        <v>4974576</v>
      </c>
      <c r="AA9" s="8">
        <v>39.6</v>
      </c>
    </row>
    <row r="10" spans="1:27" ht="28.8" x14ac:dyDescent="0.3">
      <c r="A10" s="5" t="s">
        <v>35</v>
      </c>
      <c r="B10" s="5" t="s">
        <v>19</v>
      </c>
      <c r="C10" s="5" t="s">
        <v>36</v>
      </c>
      <c r="D10" s="5">
        <v>26.75</v>
      </c>
      <c r="E10" s="5">
        <v>80.88</v>
      </c>
      <c r="F10" s="5">
        <v>6.8</v>
      </c>
      <c r="G10" s="5">
        <v>6</v>
      </c>
      <c r="H10" s="5">
        <v>65</v>
      </c>
      <c r="I10" s="5">
        <v>26.85</v>
      </c>
      <c r="J10" s="5">
        <v>80.95</v>
      </c>
      <c r="K10" s="6">
        <v>0.11</v>
      </c>
      <c r="L10" s="5">
        <v>1.2</v>
      </c>
      <c r="M10" s="7">
        <v>1500000</v>
      </c>
      <c r="N10" s="5">
        <v>1.5E-3</v>
      </c>
      <c r="O10" s="8">
        <v>61200</v>
      </c>
      <c r="P10" s="8">
        <v>10.1</v>
      </c>
      <c r="Q10" s="16">
        <v>40</v>
      </c>
      <c r="R10" s="10">
        <v>0.25</v>
      </c>
      <c r="S10" s="9" t="str">
        <f t="shared" si="0"/>
        <v>efficient</v>
      </c>
      <c r="T10" s="8">
        <v>40</v>
      </c>
      <c r="U10" s="8">
        <v>0.6</v>
      </c>
      <c r="V10" s="8">
        <v>46.06</v>
      </c>
      <c r="W10" s="8">
        <v>15.15</v>
      </c>
      <c r="X10" s="8">
        <v>18.18</v>
      </c>
      <c r="Y10" s="8">
        <v>0.753</v>
      </c>
      <c r="Z10" s="8">
        <v>2818872</v>
      </c>
      <c r="AA10" s="8">
        <v>87.55</v>
      </c>
    </row>
    <row r="11" spans="1:27" ht="28.8" x14ac:dyDescent="0.3">
      <c r="A11" s="5" t="s">
        <v>37</v>
      </c>
      <c r="B11" s="5" t="s">
        <v>19</v>
      </c>
      <c r="C11" s="5" t="s">
        <v>38</v>
      </c>
      <c r="D11" s="5">
        <v>26.78</v>
      </c>
      <c r="E11" s="5">
        <v>75.819999999999993</v>
      </c>
      <c r="F11" s="5">
        <v>6.6</v>
      </c>
      <c r="G11" s="5">
        <v>6</v>
      </c>
      <c r="H11" s="5">
        <v>63</v>
      </c>
      <c r="I11" s="5">
        <v>26.91</v>
      </c>
      <c r="J11" s="5">
        <v>75.790000000000006</v>
      </c>
      <c r="K11" s="6">
        <v>0.11</v>
      </c>
      <c r="L11" s="5">
        <v>1.2</v>
      </c>
      <c r="M11" s="7">
        <v>1500000</v>
      </c>
      <c r="N11" s="5">
        <v>1.5E-3</v>
      </c>
      <c r="O11" s="8">
        <v>59400</v>
      </c>
      <c r="P11" s="8">
        <v>17</v>
      </c>
      <c r="Q11" s="16">
        <v>40</v>
      </c>
      <c r="R11" s="10">
        <v>0.42</v>
      </c>
      <c r="S11" s="9" t="str">
        <f t="shared" si="0"/>
        <v>efficient</v>
      </c>
      <c r="T11" s="8">
        <v>40</v>
      </c>
      <c r="U11" s="8">
        <v>0.6</v>
      </c>
      <c r="V11" s="8">
        <v>50.2</v>
      </c>
      <c r="W11" s="8">
        <v>25.5</v>
      </c>
      <c r="X11" s="8">
        <v>30.6</v>
      </c>
      <c r="Y11" s="8">
        <v>0.84499999999999997</v>
      </c>
      <c r="Z11" s="8">
        <v>2981880</v>
      </c>
      <c r="AA11" s="8">
        <v>46.4</v>
      </c>
    </row>
    <row r="12" spans="1:27" ht="43.2" x14ac:dyDescent="0.3">
      <c r="A12" s="8" t="s">
        <v>39</v>
      </c>
      <c r="B12" s="8" t="s">
        <v>40</v>
      </c>
      <c r="C12" s="5" t="s">
        <v>41</v>
      </c>
      <c r="D12" s="5">
        <v>30.7</v>
      </c>
      <c r="E12" s="5">
        <v>76.73</v>
      </c>
      <c r="F12" s="8">
        <v>1.2</v>
      </c>
      <c r="G12" s="8">
        <v>5</v>
      </c>
      <c r="H12" s="8">
        <v>40</v>
      </c>
      <c r="I12" s="8">
        <v>30.74</v>
      </c>
      <c r="J12" s="8">
        <v>76.790000000000006</v>
      </c>
      <c r="K12" s="11">
        <v>0.12</v>
      </c>
      <c r="L12" s="8">
        <v>1.1000000000000001</v>
      </c>
      <c r="M12" s="7">
        <v>900000</v>
      </c>
      <c r="N12" s="12">
        <v>1E-3</v>
      </c>
      <c r="O12" s="8">
        <v>6000</v>
      </c>
      <c r="P12" s="8">
        <v>11.3</v>
      </c>
      <c r="Q12" s="17">
        <v>25</v>
      </c>
      <c r="R12" s="13">
        <v>0.45</v>
      </c>
      <c r="S12" s="9" t="str">
        <f t="shared" si="0"/>
        <v>efficient</v>
      </c>
      <c r="T12" s="8">
        <v>40</v>
      </c>
      <c r="U12" s="8">
        <v>0.6</v>
      </c>
      <c r="V12" s="8">
        <v>46.78</v>
      </c>
      <c r="W12" s="8">
        <v>16.95</v>
      </c>
      <c r="X12" s="8">
        <v>18.359000000000002</v>
      </c>
      <c r="Y12" s="8">
        <v>7.8</v>
      </c>
      <c r="Z12" s="8">
        <v>280680</v>
      </c>
      <c r="AA12" s="8">
        <v>7.58</v>
      </c>
    </row>
    <row r="13" spans="1:27" ht="57.6" x14ac:dyDescent="0.3">
      <c r="A13" s="8" t="s">
        <v>42</v>
      </c>
      <c r="B13" s="8" t="s">
        <v>40</v>
      </c>
      <c r="C13" s="5" t="s">
        <v>43</v>
      </c>
      <c r="D13" s="5">
        <v>20.3</v>
      </c>
      <c r="E13" s="5">
        <v>85.86</v>
      </c>
      <c r="F13" s="8">
        <v>1</v>
      </c>
      <c r="G13" s="8">
        <v>4</v>
      </c>
      <c r="H13" s="8">
        <v>36</v>
      </c>
      <c r="I13" s="8">
        <v>20.27</v>
      </c>
      <c r="J13" s="8">
        <v>85.84</v>
      </c>
      <c r="K13" s="11">
        <v>0.12</v>
      </c>
      <c r="L13" s="8">
        <v>1</v>
      </c>
      <c r="M13" s="7">
        <v>900000</v>
      </c>
      <c r="N13" s="12">
        <v>1E-3</v>
      </c>
      <c r="O13" s="8">
        <v>4000</v>
      </c>
      <c r="P13" s="8">
        <v>5.3</v>
      </c>
      <c r="Q13" s="17">
        <v>25</v>
      </c>
      <c r="R13" s="13">
        <v>0.21</v>
      </c>
      <c r="S13" s="9" t="str">
        <f>IF(P13&gt;=Q13,"efficient","need new warehouse")</f>
        <v>need new warehouse</v>
      </c>
      <c r="T13" s="8">
        <v>40</v>
      </c>
      <c r="U13" s="8">
        <v>0.6</v>
      </c>
      <c r="V13" s="8">
        <v>43.18</v>
      </c>
      <c r="W13" s="8">
        <v>7.95</v>
      </c>
      <c r="X13" s="8">
        <v>7.95</v>
      </c>
      <c r="Y13" s="8">
        <v>10.8</v>
      </c>
      <c r="Z13" s="8">
        <v>172720</v>
      </c>
      <c r="AA13" s="8">
        <v>11.65</v>
      </c>
    </row>
    <row r="14" spans="1:27" ht="43.2" x14ac:dyDescent="0.3">
      <c r="A14" s="8" t="s">
        <v>44</v>
      </c>
      <c r="B14" s="8" t="s">
        <v>40</v>
      </c>
      <c r="C14" s="5" t="s">
        <v>45</v>
      </c>
      <c r="D14" s="5">
        <v>11.03</v>
      </c>
      <c r="E14" s="5">
        <v>77.010000000000005</v>
      </c>
      <c r="F14" s="8">
        <v>1.6</v>
      </c>
      <c r="G14" s="8">
        <v>5</v>
      </c>
      <c r="H14" s="8">
        <v>42</v>
      </c>
      <c r="I14" s="8">
        <v>11.01</v>
      </c>
      <c r="J14" s="8">
        <v>76.959999999999994</v>
      </c>
      <c r="K14" s="11">
        <v>0.13</v>
      </c>
      <c r="L14" s="8">
        <v>1</v>
      </c>
      <c r="M14" s="7">
        <v>900000</v>
      </c>
      <c r="N14" s="12">
        <v>1E-3</v>
      </c>
      <c r="O14" s="8">
        <v>8000</v>
      </c>
      <c r="P14" s="8">
        <v>18.2</v>
      </c>
      <c r="Q14" s="17">
        <v>25</v>
      </c>
      <c r="R14" s="13">
        <v>0.72</v>
      </c>
      <c r="S14" s="9" t="str">
        <f t="shared" si="0"/>
        <v>efficient</v>
      </c>
      <c r="T14" s="8">
        <v>40</v>
      </c>
      <c r="U14" s="8">
        <v>0.6</v>
      </c>
      <c r="V14" s="8">
        <v>50.92</v>
      </c>
      <c r="W14" s="8">
        <v>27.3</v>
      </c>
      <c r="X14" s="8">
        <v>27.3</v>
      </c>
      <c r="Y14" s="8">
        <v>6.37</v>
      </c>
      <c r="Z14" s="8">
        <v>407360</v>
      </c>
      <c r="AA14" s="8">
        <v>5.76</v>
      </c>
    </row>
    <row r="15" spans="1:27" ht="57.6" x14ac:dyDescent="0.3">
      <c r="A15" s="8" t="s">
        <v>46</v>
      </c>
      <c r="B15" s="8" t="s">
        <v>40</v>
      </c>
      <c r="C15" s="5" t="s">
        <v>47</v>
      </c>
      <c r="D15" s="5">
        <v>22.61</v>
      </c>
      <c r="E15" s="5">
        <v>75.7</v>
      </c>
      <c r="F15" s="8">
        <v>3</v>
      </c>
      <c r="G15" s="8">
        <v>5</v>
      </c>
      <c r="H15" s="8">
        <v>45</v>
      </c>
      <c r="I15" s="8">
        <v>22.72</v>
      </c>
      <c r="J15" s="8">
        <v>75.87</v>
      </c>
      <c r="K15" s="11">
        <v>0.12</v>
      </c>
      <c r="L15" s="8">
        <v>1.1000000000000001</v>
      </c>
      <c r="M15" s="7">
        <v>900000</v>
      </c>
      <c r="N15" s="12">
        <v>1E-3</v>
      </c>
      <c r="O15" s="8">
        <v>15000</v>
      </c>
      <c r="P15" s="8">
        <v>21.9</v>
      </c>
      <c r="Q15" s="17">
        <v>25</v>
      </c>
      <c r="R15" s="13">
        <v>0.87</v>
      </c>
      <c r="S15" s="9" t="str">
        <f t="shared" si="0"/>
        <v>efficient</v>
      </c>
      <c r="T15" s="8">
        <v>40</v>
      </c>
      <c r="U15" s="8">
        <v>0.6</v>
      </c>
      <c r="V15" s="8">
        <v>53.14</v>
      </c>
      <c r="W15" s="8">
        <v>32.85</v>
      </c>
      <c r="X15" s="8">
        <v>36.134999999999998</v>
      </c>
      <c r="Y15" s="8">
        <v>3.54</v>
      </c>
      <c r="Z15" s="8">
        <v>797100</v>
      </c>
      <c r="AA15" s="8">
        <v>8.58</v>
      </c>
    </row>
    <row r="16" spans="1:27" ht="43.2" x14ac:dyDescent="0.3">
      <c r="A16" s="8" t="s">
        <v>48</v>
      </c>
      <c r="B16" s="8" t="s">
        <v>40</v>
      </c>
      <c r="C16" s="5" t="s">
        <v>49</v>
      </c>
      <c r="D16" s="5">
        <v>21.09</v>
      </c>
      <c r="E16" s="5">
        <v>79.05</v>
      </c>
      <c r="F16" s="8">
        <v>2.5</v>
      </c>
      <c r="G16" s="8">
        <v>5</v>
      </c>
      <c r="H16" s="8">
        <v>43</v>
      </c>
      <c r="I16" s="8">
        <v>21.15</v>
      </c>
      <c r="J16" s="8">
        <v>79.09</v>
      </c>
      <c r="K16" s="11">
        <v>0.12</v>
      </c>
      <c r="L16" s="8">
        <v>1.1000000000000001</v>
      </c>
      <c r="M16" s="7">
        <v>900000</v>
      </c>
      <c r="N16" s="12">
        <v>1E-3</v>
      </c>
      <c r="O16" s="8">
        <v>12500</v>
      </c>
      <c r="P16" s="8">
        <v>8</v>
      </c>
      <c r="Q16" s="17">
        <v>25</v>
      </c>
      <c r="R16" s="13">
        <v>0.32</v>
      </c>
      <c r="S16" s="9" t="str">
        <f>IF(P16&gt;=Q16,"efficient","need new warehouse")</f>
        <v>need new warehouse</v>
      </c>
      <c r="T16" s="8">
        <v>40</v>
      </c>
      <c r="U16" s="8">
        <v>0.6</v>
      </c>
      <c r="V16" s="8">
        <v>44.8</v>
      </c>
      <c r="W16" s="8">
        <v>12</v>
      </c>
      <c r="X16" s="8">
        <v>13.2</v>
      </c>
      <c r="Y16" s="8">
        <v>3.58</v>
      </c>
      <c r="Z16" s="8">
        <v>560000</v>
      </c>
      <c r="AA16" s="8">
        <v>23.25</v>
      </c>
    </row>
    <row r="17" spans="1:27" ht="43.2" x14ac:dyDescent="0.3">
      <c r="A17" s="8" t="s">
        <v>50</v>
      </c>
      <c r="B17" s="8" t="s">
        <v>51</v>
      </c>
      <c r="C17" s="5" t="s">
        <v>52</v>
      </c>
      <c r="D17" s="5">
        <v>22.56</v>
      </c>
      <c r="E17" s="5">
        <v>73.22</v>
      </c>
      <c r="F17" s="8">
        <v>2.1</v>
      </c>
      <c r="G17" s="8">
        <v>4</v>
      </c>
      <c r="H17" s="8">
        <v>32</v>
      </c>
      <c r="I17" s="8">
        <v>22.3</v>
      </c>
      <c r="J17" s="8">
        <v>73.2</v>
      </c>
      <c r="K17" s="11">
        <v>0.13</v>
      </c>
      <c r="L17" s="8">
        <v>1</v>
      </c>
      <c r="M17" s="7">
        <v>600000</v>
      </c>
      <c r="N17" s="14">
        <v>6.9999999999999999E-4</v>
      </c>
      <c r="O17" s="8">
        <v>5880</v>
      </c>
      <c r="P17" s="8">
        <v>31.2</v>
      </c>
      <c r="Q17" s="17">
        <v>20</v>
      </c>
      <c r="R17" s="13">
        <v>1.56</v>
      </c>
      <c r="S17" s="9" t="str">
        <f t="shared" si="0"/>
        <v>need new warehouse</v>
      </c>
      <c r="T17" s="8">
        <v>40</v>
      </c>
      <c r="U17" s="8">
        <v>0.6</v>
      </c>
      <c r="V17" s="8">
        <v>58.72</v>
      </c>
      <c r="W17" s="8">
        <v>46.8</v>
      </c>
      <c r="X17" s="8">
        <v>46.8</v>
      </c>
      <c r="Y17" s="8">
        <v>9.99</v>
      </c>
      <c r="Z17" s="8">
        <v>345273.59999999998</v>
      </c>
      <c r="AA17" s="8">
        <v>2.14</v>
      </c>
    </row>
    <row r="18" spans="1:27" ht="28.8" x14ac:dyDescent="0.3">
      <c r="A18" s="8" t="s">
        <v>53</v>
      </c>
      <c r="B18" s="8" t="s">
        <v>51</v>
      </c>
      <c r="C18" s="5" t="s">
        <v>54</v>
      </c>
      <c r="D18" s="5">
        <v>22.34</v>
      </c>
      <c r="E18" s="5">
        <v>70.760000000000005</v>
      </c>
      <c r="F18" s="8">
        <v>1.8</v>
      </c>
      <c r="G18" s="8">
        <v>4</v>
      </c>
      <c r="H18" s="8">
        <v>30</v>
      </c>
      <c r="I18" s="8">
        <v>22.3</v>
      </c>
      <c r="J18" s="8">
        <v>70.8</v>
      </c>
      <c r="K18" s="11">
        <v>0.14000000000000001</v>
      </c>
      <c r="L18" s="8">
        <v>1</v>
      </c>
      <c r="M18" s="7">
        <v>600000</v>
      </c>
      <c r="N18" s="14">
        <v>6.9999999999999999E-4</v>
      </c>
      <c r="O18" s="8">
        <v>5040</v>
      </c>
      <c r="P18" s="8">
        <v>6.7</v>
      </c>
      <c r="Q18" s="17">
        <v>20</v>
      </c>
      <c r="R18" s="13">
        <v>0.33500000000000002</v>
      </c>
      <c r="S18" s="13" t="str">
        <f>IF(P18&gt;=Q18,"efficient","need new")</f>
        <v>need new</v>
      </c>
      <c r="T18" s="8">
        <v>40</v>
      </c>
      <c r="U18" s="8">
        <v>0.6</v>
      </c>
      <c r="V18" s="8">
        <v>44.02</v>
      </c>
      <c r="W18" s="8">
        <v>10.050000000000001</v>
      </c>
      <c r="X18" s="8">
        <v>10.050000000000001</v>
      </c>
      <c r="Y18" s="8">
        <v>8.73</v>
      </c>
      <c r="Z18" s="8">
        <v>221860.8</v>
      </c>
      <c r="AA18" s="8">
        <v>11.39</v>
      </c>
    </row>
    <row r="19" spans="1:27" ht="57.6" x14ac:dyDescent="0.3">
      <c r="A19" s="8" t="s">
        <v>55</v>
      </c>
      <c r="B19" s="8" t="s">
        <v>51</v>
      </c>
      <c r="C19" s="5" t="s">
        <v>56</v>
      </c>
      <c r="D19" s="5">
        <v>12.95</v>
      </c>
      <c r="E19" s="5">
        <v>74.819999999999993</v>
      </c>
      <c r="F19" s="8">
        <v>1.5</v>
      </c>
      <c r="G19" s="8">
        <v>3</v>
      </c>
      <c r="H19" s="8">
        <v>26</v>
      </c>
      <c r="I19" s="8">
        <v>12.91</v>
      </c>
      <c r="J19" s="8">
        <v>74.849999999999994</v>
      </c>
      <c r="K19" s="11">
        <v>0.14000000000000001</v>
      </c>
      <c r="L19" s="8">
        <v>1</v>
      </c>
      <c r="M19" s="7">
        <v>600000</v>
      </c>
      <c r="N19" s="14">
        <v>6.9999999999999999E-4</v>
      </c>
      <c r="O19" s="8">
        <v>3150</v>
      </c>
      <c r="P19" s="8">
        <v>4.9000000000000004</v>
      </c>
      <c r="Q19" s="17">
        <v>20</v>
      </c>
      <c r="R19" s="13">
        <v>0.245</v>
      </c>
      <c r="S19" s="13" t="str">
        <f t="shared" ref="S19" si="1">IF(P19&gt;=Q19,"efficient","need new")</f>
        <v>need new</v>
      </c>
      <c r="T19" s="8">
        <v>40</v>
      </c>
      <c r="U19" s="8">
        <v>0.6</v>
      </c>
      <c r="V19" s="8">
        <v>42.94</v>
      </c>
      <c r="W19" s="8">
        <v>7.35</v>
      </c>
      <c r="X19" s="8">
        <v>7.35</v>
      </c>
      <c r="Y19" s="8">
        <v>13.63</v>
      </c>
      <c r="Z19" s="8">
        <v>135261</v>
      </c>
      <c r="AA19" s="8">
        <v>9.99</v>
      </c>
    </row>
    <row r="20" spans="1:27" ht="57.6" x14ac:dyDescent="0.3">
      <c r="A20" s="8" t="s">
        <v>57</v>
      </c>
      <c r="B20" s="8" t="s">
        <v>51</v>
      </c>
      <c r="C20" s="5" t="s">
        <v>58</v>
      </c>
      <c r="D20" s="5">
        <v>26.19</v>
      </c>
      <c r="E20" s="5">
        <v>91.57</v>
      </c>
      <c r="F20" s="8">
        <v>1.7</v>
      </c>
      <c r="G20" s="8">
        <v>3</v>
      </c>
      <c r="H20" s="8">
        <v>28</v>
      </c>
      <c r="I20" s="8">
        <v>26.15</v>
      </c>
      <c r="J20" s="8">
        <v>91.78</v>
      </c>
      <c r="K20" s="11">
        <v>0.13</v>
      </c>
      <c r="L20" s="8">
        <v>1.1000000000000001</v>
      </c>
      <c r="M20" s="7">
        <v>600000</v>
      </c>
      <c r="N20" s="14">
        <v>6.9999999999999999E-4</v>
      </c>
      <c r="O20" s="8">
        <v>3570</v>
      </c>
      <c r="P20" s="8">
        <v>20.7</v>
      </c>
      <c r="Q20" s="17">
        <v>20</v>
      </c>
      <c r="R20" s="13">
        <v>1.03</v>
      </c>
      <c r="S20" s="13" t="str">
        <f>IF(P20&lt;=Q20,"efficient","need new")</f>
        <v>need new</v>
      </c>
      <c r="T20" s="8">
        <v>40</v>
      </c>
      <c r="U20" s="8">
        <v>0.6</v>
      </c>
      <c r="V20" s="8">
        <v>52.42</v>
      </c>
      <c r="W20" s="8">
        <v>31.05</v>
      </c>
      <c r="X20" s="8">
        <v>34.155000000000001</v>
      </c>
      <c r="Y20" s="8">
        <v>14.68</v>
      </c>
      <c r="Z20" s="8">
        <v>187139.4</v>
      </c>
      <c r="AA20" s="8">
        <v>2.2000000000000002</v>
      </c>
    </row>
    <row r="21" spans="1:27" ht="43.2" x14ac:dyDescent="0.3">
      <c r="A21" s="8" t="s">
        <v>59</v>
      </c>
      <c r="B21" s="8" t="s">
        <v>51</v>
      </c>
      <c r="C21" s="5" t="s">
        <v>60</v>
      </c>
      <c r="D21" s="5">
        <v>25.57</v>
      </c>
      <c r="E21" s="5">
        <v>84.87</v>
      </c>
      <c r="F21" s="8">
        <v>2.9</v>
      </c>
      <c r="G21" s="8">
        <v>4</v>
      </c>
      <c r="H21" s="8">
        <v>35</v>
      </c>
      <c r="I21" s="8">
        <v>25.61</v>
      </c>
      <c r="J21" s="8">
        <v>85.14</v>
      </c>
      <c r="K21" s="11">
        <v>0.13</v>
      </c>
      <c r="L21" s="8">
        <v>1.1000000000000001</v>
      </c>
      <c r="M21" s="7">
        <v>600000</v>
      </c>
      <c r="N21" s="14">
        <v>6.9999999999999999E-4</v>
      </c>
      <c r="O21" s="8">
        <v>8120</v>
      </c>
      <c r="P21" s="8">
        <v>30.5</v>
      </c>
      <c r="Q21" s="17">
        <v>20</v>
      </c>
      <c r="R21" s="13">
        <v>1.52</v>
      </c>
      <c r="S21" s="13" t="str">
        <f>IF(P21&lt;=Q21,"efficient","need new")</f>
        <v>need new</v>
      </c>
      <c r="T21" s="8">
        <v>40</v>
      </c>
      <c r="U21" s="8">
        <v>0.6</v>
      </c>
      <c r="V21" s="8">
        <v>58.3</v>
      </c>
      <c r="W21" s="8">
        <v>45.75</v>
      </c>
      <c r="X21" s="8">
        <v>50.325000000000003</v>
      </c>
      <c r="Y21" s="8">
        <v>7.18</v>
      </c>
      <c r="Z21" s="8">
        <v>473396</v>
      </c>
      <c r="AA21" s="8">
        <v>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shaikrijwana475@gmail.com</dc:creator>
  <cp:lastModifiedBy>shaikrijwana475@gmail.com</cp:lastModifiedBy>
  <dcterms:created xsi:type="dcterms:W3CDTF">2026-03-05T09:14:18Z</dcterms:created>
  <dcterms:modified xsi:type="dcterms:W3CDTF">2026-03-27T11:23:22Z</dcterms:modified>
</cp:coreProperties>
</file>